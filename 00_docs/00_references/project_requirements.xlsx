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miteduau.sharepoint.com/sites/OENG1250-RoverGroup88/Shared Documents/General/"/>
    </mc:Choice>
  </mc:AlternateContent>
  <xr:revisionPtr revIDLastSave="768" documentId="11_1083446F58A33E00D12F196699F3905A2C73F6BE" xr6:coauthVersionLast="47" xr6:coauthVersionMax="47" xr10:uidLastSave="{50BD4CD7-1CCF-41C6-AC54-894D106F6E24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2" i="1" l="1"/>
  <c r="J26" i="1"/>
  <c r="J27" i="1" s="1"/>
  <c r="J19" i="1"/>
  <c r="H22" i="1"/>
  <c r="J20" i="1"/>
  <c r="J21" i="1"/>
  <c r="J11" i="1"/>
  <c r="J29" i="1"/>
  <c r="J28" i="1" s="1"/>
  <c r="J25" i="1"/>
  <c r="H28" i="1" s="1"/>
  <c r="J22" i="1"/>
  <c r="H15" i="1"/>
  <c r="E15" i="1"/>
  <c r="C15" i="1"/>
  <c r="L15" i="1" s="1"/>
  <c r="H12" i="1"/>
  <c r="J13" i="1"/>
  <c r="J14" i="1"/>
  <c r="H13" i="1"/>
  <c r="L9" i="1"/>
  <c r="H23" i="1"/>
  <c r="L23" i="1" s="1"/>
  <c r="C7" i="1"/>
  <c r="H7" i="1" s="1"/>
  <c r="H6" i="1"/>
  <c r="H14" i="1" s="1"/>
  <c r="H8" i="1"/>
  <c r="H5" i="1"/>
  <c r="H4" i="1"/>
  <c r="L4" i="1"/>
  <c r="J3" i="1"/>
  <c r="H24" i="1" s="1"/>
  <c r="H3" i="1"/>
  <c r="C2" i="1"/>
  <c r="C3" i="1" s="1"/>
  <c r="E3" i="1"/>
  <c r="L28" i="1" l="1"/>
  <c r="J35" i="1"/>
  <c r="H29" i="1"/>
  <c r="H30" i="1" s="1"/>
  <c r="L30" i="1" s="1"/>
  <c r="H27" i="1"/>
  <c r="L22" i="1"/>
  <c r="H2" i="1"/>
  <c r="L27" i="1"/>
  <c r="L24" i="1"/>
  <c r="H25" i="1"/>
  <c r="J6" i="1"/>
  <c r="L14" i="1"/>
  <c r="L2" i="1"/>
  <c r="J2" i="1"/>
  <c r="J5" i="1" l="1"/>
  <c r="L5" i="1" s="1"/>
  <c r="J7" i="1"/>
  <c r="H11" i="1" s="1"/>
  <c r="L11" i="1" s="1"/>
  <c r="H10" i="1"/>
  <c r="L7" i="1" l="1"/>
</calcChain>
</file>

<file path=xl/sharedStrings.xml><?xml version="1.0" encoding="utf-8"?>
<sst xmlns="http://schemas.openxmlformats.org/spreadsheetml/2006/main" count="160" uniqueCount="107">
  <si>
    <t>Variable</t>
  </si>
  <si>
    <t>Description</t>
  </si>
  <si>
    <t>Min Value</t>
  </si>
  <si>
    <t>Max Value</t>
  </si>
  <si>
    <t>Notes</t>
  </si>
  <si>
    <t>Theoretical Value</t>
  </si>
  <si>
    <t>Target Value</t>
  </si>
  <si>
    <t>Valid</t>
  </si>
  <si>
    <t>Travel Speed</t>
  </si>
  <si>
    <t>km/h</t>
  </si>
  <si>
    <t>Min speed based on min wheel size and motor rpm</t>
  </si>
  <si>
    <t>m/s</t>
  </si>
  <si>
    <t>Housing Dimensions</t>
  </si>
  <si>
    <t>Wheel Size</t>
  </si>
  <si>
    <t>mm</t>
  </si>
  <si>
    <t>Smallest possible size results in least weight</t>
  </si>
  <si>
    <t>Component</t>
  </si>
  <si>
    <t>Length</t>
  </si>
  <si>
    <t>Width</t>
  </si>
  <si>
    <t>Height</t>
  </si>
  <si>
    <t>Regolith Collection</t>
  </si>
  <si>
    <t>g/day</t>
  </si>
  <si>
    <t>g/h</t>
  </si>
  <si>
    <t xml:space="preserve">Accumulator </t>
  </si>
  <si>
    <t>g/trip</t>
  </si>
  <si>
    <t>Solar Panel</t>
  </si>
  <si>
    <t>300mm</t>
  </si>
  <si>
    <t>200mm</t>
  </si>
  <si>
    <t>20mm</t>
  </si>
  <si>
    <t>g</t>
  </si>
  <si>
    <t>Suspension Mounting Cutouts</t>
  </si>
  <si>
    <t>80mm</t>
  </si>
  <si>
    <t>~25mm</t>
  </si>
  <si>
    <t>Collection Trips</t>
  </si>
  <si>
    <t>The number of trips to collect regolith</t>
  </si>
  <si>
    <t>trip</t>
  </si>
  <si>
    <t>trips</t>
  </si>
  <si>
    <t>Regolith Container</t>
  </si>
  <si>
    <t>90mm</t>
  </si>
  <si>
    <t>60mm</t>
  </si>
  <si>
    <t>Regolith Size</t>
  </si>
  <si>
    <t>Size of individual rock</t>
  </si>
  <si>
    <t>cm</t>
  </si>
  <si>
    <t>Assume roughly spherical</t>
  </si>
  <si>
    <t xml:space="preserve">Camera Mast </t>
  </si>
  <si>
    <t>Rock capacity</t>
  </si>
  <si>
    <t>How many individual rocks the rover can carry</t>
  </si>
  <si>
    <t>rocks</t>
  </si>
  <si>
    <t>Regolith Volume</t>
  </si>
  <si>
    <t>Total volume per trip</t>
  </si>
  <si>
    <t>cm^3</t>
  </si>
  <si>
    <t>Volume of individual rock</t>
  </si>
  <si>
    <t>Carry Mass</t>
  </si>
  <si>
    <t>Mass of individual rock</t>
  </si>
  <si>
    <t>Total mass</t>
  </si>
  <si>
    <t>Max Rock Dimensions</t>
  </si>
  <si>
    <t>Container Dimensions</t>
  </si>
  <si>
    <t>Width (Rocks)</t>
  </si>
  <si>
    <t>Length (Rocks)</t>
  </si>
  <si>
    <t>Height (Rocks)</t>
  </si>
  <si>
    <t>Width (cm)</t>
  </si>
  <si>
    <t>Length (cm)</t>
  </si>
  <si>
    <t>Height (cm)</t>
  </si>
  <si>
    <t>Rock Capacity</t>
  </si>
  <si>
    <t>Distance Travelled</t>
  </si>
  <si>
    <t>m/trip</t>
  </si>
  <si>
    <t>Travel Time</t>
  </si>
  <si>
    <t>h</t>
  </si>
  <si>
    <t>Power Consumtion</t>
  </si>
  <si>
    <t>Power consumed per trip</t>
  </si>
  <si>
    <t>Wh</t>
  </si>
  <si>
    <t>Rover Downtime</t>
  </si>
  <si>
    <t>Time between trips for recharging</t>
  </si>
  <si>
    <t>Power Generation</t>
  </si>
  <si>
    <t>Power generated between trips</t>
  </si>
  <si>
    <t>This must be enough that the rover can fully recharge</t>
  </si>
  <si>
    <t>Energy Capacity</t>
  </si>
  <si>
    <t>Total power capacity of the rover</t>
  </si>
  <si>
    <t>Cell Volume</t>
  </si>
  <si>
    <t>Required volume of cells</t>
  </si>
  <si>
    <t>Cell Count</t>
  </si>
  <si>
    <t>Number of required cells</t>
  </si>
  <si>
    <t>cells</t>
  </si>
  <si>
    <t>energy density</t>
  </si>
  <si>
    <t>Wh/kg</t>
  </si>
  <si>
    <t>Fixed Value</t>
  </si>
  <si>
    <t>Value</t>
  </si>
  <si>
    <t>Unit</t>
  </si>
  <si>
    <t>cell weight</t>
  </si>
  <si>
    <t>Motor Speed</t>
  </si>
  <si>
    <t>Speed the motor shaft rotates</t>
  </si>
  <si>
    <t>rpm</t>
  </si>
  <si>
    <t>kg</t>
  </si>
  <si>
    <t>Regoltion Amount</t>
  </si>
  <si>
    <t>Over the entire 5 day operation</t>
  </si>
  <si>
    <t>Regolith Density</t>
  </si>
  <si>
    <t>g/cm^3</t>
  </si>
  <si>
    <t>Collection Timeframe</t>
  </si>
  <si>
    <t>Period of time to collect regolith</t>
  </si>
  <si>
    <t>days</t>
  </si>
  <si>
    <t>Nominal Power Consumption</t>
  </si>
  <si>
    <t>W</t>
  </si>
  <si>
    <t>Solar Panel Generation</t>
  </si>
  <si>
    <t>Cell Energy Density</t>
  </si>
  <si>
    <t>Wh/L</t>
  </si>
  <si>
    <t>Volume of cell</t>
  </si>
  <si>
    <t>The volume of a individual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</si>
</sst>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rgb="FF000000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 style="thin">
        <color rgb="FF000000"/>
      </bottom>
      <diagonal/>
    </border>
    <border>
      <left/>
      <right/>
      <top style="thin">
        <color theme="1" tint="0.499984740745262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right" vertical="center"/>
    </xf>
    <xf numFmtId="0" fontId="0" fillId="6" borderId="0" xfId="0" applyFill="1"/>
    <xf numFmtId="0" fontId="0" fillId="6" borderId="1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3" xfId="0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0" borderId="3" xfId="0" applyBorder="1"/>
    <xf numFmtId="0" fontId="0" fillId="2" borderId="3" xfId="0" applyFill="1" applyBorder="1"/>
    <xf numFmtId="0" fontId="0" fillId="2" borderId="2" xfId="0" applyFill="1" applyBorder="1"/>
    <xf numFmtId="0" fontId="0" fillId="2" borderId="3" xfId="0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0" fillId="6" borderId="3" xfId="0" applyFill="1" applyBorder="1"/>
    <xf numFmtId="0" fontId="2" fillId="5" borderId="3" xfId="0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2" fillId="5" borderId="3" xfId="0" applyFont="1" applyFill="1" applyBorder="1"/>
    <xf numFmtId="0" fontId="2" fillId="5" borderId="0" xfId="0" applyFont="1" applyFill="1"/>
    <xf numFmtId="0" fontId="2" fillId="5" borderId="2" xfId="0" applyFont="1" applyFill="1" applyBorder="1"/>
    <xf numFmtId="0" fontId="2" fillId="5" borderId="1" xfId="0" applyFont="1" applyFill="1" applyBorder="1"/>
    <xf numFmtId="0" fontId="2" fillId="5" borderId="2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5" xfId="0" applyFill="1" applyBorder="1"/>
    <xf numFmtId="0" fontId="0" fillId="5" borderId="4" xfId="0" applyFill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0" borderId="14" xfId="0" applyBorder="1" applyAlignment="1">
      <alignment horizontal="right" vertical="center"/>
    </xf>
    <xf numFmtId="0" fontId="0" fillId="2" borderId="15" xfId="0" applyFill="1" applyBorder="1" applyAlignment="1">
      <alignment horizontal="right" vertical="center"/>
    </xf>
    <xf numFmtId="0" fontId="0" fillId="2" borderId="14" xfId="0" applyFill="1" applyBorder="1" applyAlignment="1">
      <alignment horizontal="right" vertical="center"/>
    </xf>
    <xf numFmtId="0" fontId="0" fillId="0" borderId="14" xfId="0" applyBorder="1"/>
    <xf numFmtId="0" fontId="0" fillId="2" borderId="14" xfId="0" applyFill="1" applyBorder="1"/>
    <xf numFmtId="0" fontId="0" fillId="2" borderId="15" xfId="0" applyFill="1" applyBorder="1"/>
    <xf numFmtId="0" fontId="0" fillId="2" borderId="14" xfId="0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0" fontId="0" fillId="4" borderId="17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tabSelected="1" workbookViewId="0">
      <selection activeCell="J5" sqref="J5"/>
    </sheetView>
  </sheetViews>
  <sheetFormatPr defaultRowHeight="15"/>
  <cols>
    <col min="1" max="1" width="26.7109375" customWidth="1"/>
    <col min="2" max="2" width="41.28515625" customWidth="1"/>
    <col min="3" max="3" width="10.42578125" customWidth="1"/>
    <col min="4" max="4" width="7.5703125" customWidth="1"/>
    <col min="5" max="5" width="10.140625" customWidth="1"/>
    <col min="6" max="6" width="7.28515625" customWidth="1"/>
    <col min="7" max="7" width="48.42578125" customWidth="1"/>
    <col min="8" max="8" width="16.28515625" customWidth="1"/>
    <col min="9" max="9" width="7.7109375" customWidth="1"/>
    <col min="10" max="10" width="13" customWidth="1"/>
    <col min="11" max="11" width="8.140625" customWidth="1"/>
    <col min="18" max="18" width="27.5703125" customWidth="1"/>
    <col min="19" max="19" width="16.5703125" customWidth="1"/>
    <col min="20" max="20" width="14.140625" customWidth="1"/>
    <col min="21" max="21" width="15.42578125" customWidth="1"/>
  </cols>
  <sheetData>
    <row r="1" spans="1:21">
      <c r="A1" s="13" t="s">
        <v>0</v>
      </c>
      <c r="B1" s="13" t="s">
        <v>1</v>
      </c>
      <c r="C1" s="76" t="s">
        <v>2</v>
      </c>
      <c r="D1" s="77"/>
      <c r="E1" s="78" t="s">
        <v>3</v>
      </c>
      <c r="F1" s="79"/>
      <c r="G1" s="62" t="s">
        <v>4</v>
      </c>
      <c r="H1" s="77" t="s">
        <v>5</v>
      </c>
      <c r="I1" s="80"/>
      <c r="J1" s="76" t="s">
        <v>6</v>
      </c>
      <c r="K1" s="80"/>
      <c r="L1" s="51" t="s">
        <v>7</v>
      </c>
    </row>
    <row r="2" spans="1:21">
      <c r="A2" s="72" t="s">
        <v>8</v>
      </c>
      <c r="B2" s="75"/>
      <c r="C2" s="49">
        <f>0.15</f>
        <v>0.15</v>
      </c>
      <c r="D2" s="50" t="s">
        <v>9</v>
      </c>
      <c r="E2" s="52">
        <v>0.25</v>
      </c>
      <c r="F2" s="1" t="s">
        <v>9</v>
      </c>
      <c r="G2" s="81" t="s">
        <v>10</v>
      </c>
      <c r="H2" s="1">
        <f>H3*3.6</f>
        <v>0.15079644737231007</v>
      </c>
      <c r="I2" s="1" t="s">
        <v>9</v>
      </c>
      <c r="J2" s="28">
        <f>J3*3.6</f>
        <v>0.16022122533307948</v>
      </c>
      <c r="K2" s="29" t="s">
        <v>9</v>
      </c>
      <c r="L2" s="71" t="str">
        <f>IF(AND(J3&gt;=C3,J3&lt;=E3), "True", "False")</f>
        <v>True</v>
      </c>
    </row>
    <row r="3" spans="1:21">
      <c r="A3" s="72"/>
      <c r="B3" s="75"/>
      <c r="C3" s="14">
        <f>C2/3.6</f>
        <v>4.1666666666666664E-2</v>
      </c>
      <c r="D3" s="1" t="s">
        <v>11</v>
      </c>
      <c r="E3" s="52">
        <f>E2/3.6</f>
        <v>6.9444444444444448E-2</v>
      </c>
      <c r="F3" s="1" t="s">
        <v>11</v>
      </c>
      <c r="G3" s="81"/>
      <c r="H3" s="1">
        <f>H4/1000*PI()*C35/60</f>
        <v>4.1887902047863905E-2</v>
      </c>
      <c r="I3" s="1" t="s">
        <v>11</v>
      </c>
      <c r="J3" s="28">
        <f>J4/1000*PI()*C35/60</f>
        <v>4.450589592585541E-2</v>
      </c>
      <c r="K3" s="29" t="s">
        <v>11</v>
      </c>
      <c r="L3" s="71"/>
      <c r="R3" t="s">
        <v>12</v>
      </c>
    </row>
    <row r="4" spans="1:21">
      <c r="A4" s="6" t="s">
        <v>13</v>
      </c>
      <c r="B4" s="6"/>
      <c r="C4" s="15">
        <v>80</v>
      </c>
      <c r="D4" s="6" t="s">
        <v>14</v>
      </c>
      <c r="E4" s="53">
        <v>130</v>
      </c>
      <c r="F4" s="6" t="s">
        <v>14</v>
      </c>
      <c r="G4" s="63" t="s">
        <v>15</v>
      </c>
      <c r="H4" s="6">
        <f>C4</f>
        <v>80</v>
      </c>
      <c r="I4" s="6" t="s">
        <v>14</v>
      </c>
      <c r="J4" s="25">
        <v>85</v>
      </c>
      <c r="K4" s="9" t="s">
        <v>14</v>
      </c>
      <c r="L4" s="38" t="str">
        <f>IF(AND(J4&gt;=C4,J4&lt;=E4), "True", "False")</f>
        <v>True</v>
      </c>
      <c r="R4" t="s">
        <v>16</v>
      </c>
      <c r="S4" t="s">
        <v>17</v>
      </c>
      <c r="T4" t="s">
        <v>18</v>
      </c>
      <c r="U4" t="s">
        <v>19</v>
      </c>
    </row>
    <row r="5" spans="1:21">
      <c r="A5" s="72" t="s">
        <v>20</v>
      </c>
      <c r="B5" s="75"/>
      <c r="C5" s="14">
        <v>100</v>
      </c>
      <c r="D5" s="1" t="s">
        <v>21</v>
      </c>
      <c r="E5" s="52">
        <v>1000</v>
      </c>
      <c r="F5" s="1" t="s">
        <v>22</v>
      </c>
      <c r="G5" s="71"/>
      <c r="H5" s="1">
        <f>C36/C38</f>
        <v>200</v>
      </c>
      <c r="I5" s="1" t="s">
        <v>21</v>
      </c>
      <c r="J5" s="28">
        <f>J6*FLOOR(J8/C38, 1)</f>
        <v>216</v>
      </c>
      <c r="K5" s="29" t="s">
        <v>21</v>
      </c>
      <c r="L5" s="37" t="str">
        <f>IF(AND(J5&gt;=C5,J5&lt;=E5), "True", "False")</f>
        <v>True</v>
      </c>
      <c r="R5" t="s">
        <v>23</v>
      </c>
    </row>
    <row r="6" spans="1:21">
      <c r="A6" s="72"/>
      <c r="B6" s="75"/>
      <c r="C6" s="16"/>
      <c r="D6" s="1"/>
      <c r="E6" s="54"/>
      <c r="F6" s="1"/>
      <c r="G6" s="71"/>
      <c r="H6" s="1">
        <f>C36/J8</f>
        <v>200</v>
      </c>
      <c r="I6" s="1" t="s">
        <v>24</v>
      </c>
      <c r="J6" s="28">
        <f>J14</f>
        <v>216</v>
      </c>
      <c r="K6" s="29" t="s">
        <v>24</v>
      </c>
      <c r="L6" s="39"/>
      <c r="R6" t="s">
        <v>25</v>
      </c>
      <c r="S6" t="s">
        <v>26</v>
      </c>
      <c r="T6" t="s">
        <v>27</v>
      </c>
      <c r="U6" t="s">
        <v>28</v>
      </c>
    </row>
    <row r="7" spans="1:21">
      <c r="A7" s="72"/>
      <c r="B7" s="75"/>
      <c r="C7" s="16">
        <f>C36</f>
        <v>1000</v>
      </c>
      <c r="D7" s="1" t="s">
        <v>29</v>
      </c>
      <c r="E7" s="54"/>
      <c r="F7" s="1"/>
      <c r="G7" s="71"/>
      <c r="H7" s="1">
        <f>C7</f>
        <v>1000</v>
      </c>
      <c r="I7" s="1" t="s">
        <v>29</v>
      </c>
      <c r="J7" s="28">
        <f>J8*J6</f>
        <v>1080</v>
      </c>
      <c r="K7" s="29" t="s">
        <v>29</v>
      </c>
      <c r="L7" s="37" t="str">
        <f>IF(J7&gt;=C7, "True", "False")</f>
        <v>True</v>
      </c>
      <c r="R7" t="s">
        <v>30</v>
      </c>
      <c r="S7" t="s">
        <v>31</v>
      </c>
      <c r="T7" t="s">
        <v>32</v>
      </c>
    </row>
    <row r="8" spans="1:21">
      <c r="A8" s="6" t="s">
        <v>33</v>
      </c>
      <c r="B8" s="6" t="s">
        <v>34</v>
      </c>
      <c r="C8" s="17"/>
      <c r="D8" s="7"/>
      <c r="E8" s="55"/>
      <c r="F8" s="6"/>
      <c r="G8" s="63"/>
      <c r="H8" s="6">
        <f>C36/E5</f>
        <v>1</v>
      </c>
      <c r="I8" s="6" t="s">
        <v>35</v>
      </c>
      <c r="J8" s="25">
        <v>5</v>
      </c>
      <c r="K8" s="9" t="s">
        <v>36</v>
      </c>
      <c r="L8" s="40"/>
      <c r="R8" t="s">
        <v>37</v>
      </c>
      <c r="S8" t="s">
        <v>38</v>
      </c>
      <c r="T8" t="s">
        <v>38</v>
      </c>
      <c r="U8" t="s">
        <v>39</v>
      </c>
    </row>
    <row r="9" spans="1:21">
      <c r="A9" s="1" t="s">
        <v>40</v>
      </c>
      <c r="B9" s="1" t="s">
        <v>41</v>
      </c>
      <c r="C9" s="16">
        <v>2</v>
      </c>
      <c r="D9" s="1" t="s">
        <v>42</v>
      </c>
      <c r="E9" s="54">
        <v>5</v>
      </c>
      <c r="F9" s="1" t="s">
        <v>42</v>
      </c>
      <c r="G9" s="64" t="s">
        <v>43</v>
      </c>
      <c r="H9" s="1"/>
      <c r="I9" s="1"/>
      <c r="J9" s="26">
        <v>2.5</v>
      </c>
      <c r="K9" s="10" t="s">
        <v>42</v>
      </c>
      <c r="L9" s="37" t="str">
        <f>IF(AND(J9&gt;=C9,J9&lt;=E9), "True", "False")</f>
        <v>True</v>
      </c>
      <c r="R9" t="s">
        <v>44</v>
      </c>
    </row>
    <row r="10" spans="1:21">
      <c r="A10" s="2" t="s">
        <v>45</v>
      </c>
      <c r="B10" s="2" t="s">
        <v>46</v>
      </c>
      <c r="C10" s="18"/>
      <c r="D10" s="2"/>
      <c r="E10" s="56"/>
      <c r="F10" s="2"/>
      <c r="G10" s="65"/>
      <c r="H10" s="2">
        <f>J6/H13</f>
        <v>17.601263466418889</v>
      </c>
      <c r="I10" s="2" t="s">
        <v>47</v>
      </c>
      <c r="J10" s="26">
        <v>18</v>
      </c>
      <c r="K10" s="10" t="s">
        <v>47</v>
      </c>
      <c r="L10" s="41"/>
    </row>
    <row r="11" spans="1:21">
      <c r="A11" s="72" t="s">
        <v>48</v>
      </c>
      <c r="B11" s="1" t="s">
        <v>49</v>
      </c>
      <c r="C11" s="16"/>
      <c r="D11" s="1"/>
      <c r="E11" s="54"/>
      <c r="F11" s="1"/>
      <c r="G11" s="71"/>
      <c r="H11" s="1">
        <f>J7/C37/J8</f>
        <v>144</v>
      </c>
      <c r="I11" s="1" t="s">
        <v>50</v>
      </c>
      <c r="J11" s="28">
        <f>J19*J20*J21</f>
        <v>486</v>
      </c>
      <c r="K11" s="29" t="s">
        <v>50</v>
      </c>
      <c r="L11" s="37" t="str">
        <f>IF(J11&gt;=H11, "True", "False")</f>
        <v>True</v>
      </c>
    </row>
    <row r="12" spans="1:21">
      <c r="A12" s="72"/>
      <c r="B12" s="1" t="s">
        <v>51</v>
      </c>
      <c r="C12" s="19"/>
      <c r="E12" s="57">
        <v>100</v>
      </c>
      <c r="F12" t="s">
        <v>50</v>
      </c>
      <c r="G12" s="71"/>
      <c r="H12">
        <f>POWER(J9/2,3)*PI()*4/3</f>
        <v>8.1812308687234196</v>
      </c>
      <c r="I12" t="s">
        <v>50</v>
      </c>
      <c r="J12" s="27">
        <v>8</v>
      </c>
      <c r="K12" s="8" t="s">
        <v>50</v>
      </c>
      <c r="L12" s="41"/>
    </row>
    <row r="13" spans="1:21">
      <c r="A13" s="73" t="s">
        <v>52</v>
      </c>
      <c r="B13" s="2" t="s">
        <v>53</v>
      </c>
      <c r="C13" s="20"/>
      <c r="D13" s="4"/>
      <c r="E13" s="58"/>
      <c r="F13" s="4"/>
      <c r="G13" s="66"/>
      <c r="H13" s="4">
        <f>H12*C37</f>
        <v>12.27184630308513</v>
      </c>
      <c r="I13" s="4" t="s">
        <v>29</v>
      </c>
      <c r="J13" s="30">
        <f>J12*C37</f>
        <v>12</v>
      </c>
      <c r="K13" s="31" t="s">
        <v>29</v>
      </c>
      <c r="L13" s="41"/>
    </row>
    <row r="14" spans="1:21">
      <c r="A14" s="74"/>
      <c r="B14" s="6" t="s">
        <v>54</v>
      </c>
      <c r="C14" s="21"/>
      <c r="D14" s="5"/>
      <c r="E14" s="59"/>
      <c r="F14" s="5"/>
      <c r="G14" s="67"/>
      <c r="H14" s="5">
        <f>H6</f>
        <v>200</v>
      </c>
      <c r="I14" s="5" t="s">
        <v>29</v>
      </c>
      <c r="J14" s="32">
        <f>J10*J13</f>
        <v>216</v>
      </c>
      <c r="K14" s="33" t="s">
        <v>29</v>
      </c>
      <c r="L14" s="38" t="str">
        <f>IF(J14&gt;=H6, "True", "False")</f>
        <v>True</v>
      </c>
    </row>
    <row r="15" spans="1:21">
      <c r="A15" s="1" t="s">
        <v>55</v>
      </c>
      <c r="B15" s="1"/>
      <c r="C15" s="16">
        <f>C9</f>
        <v>2</v>
      </c>
      <c r="D15" s="1" t="s">
        <v>42</v>
      </c>
      <c r="E15" s="54">
        <f>E9</f>
        <v>5</v>
      </c>
      <c r="F15" s="1" t="s">
        <v>42</v>
      </c>
      <c r="G15" s="64"/>
      <c r="H15" s="1">
        <f>J9</f>
        <v>2.5</v>
      </c>
      <c r="I15" s="1" t="s">
        <v>42</v>
      </c>
      <c r="J15" s="26">
        <v>3</v>
      </c>
      <c r="K15" s="10" t="s">
        <v>42</v>
      </c>
      <c r="L15" s="37" t="str">
        <f>IF(AND(J15&gt;=C15,J15&lt;=E15,J15&gt;=H15), "True", "False")</f>
        <v>True</v>
      </c>
    </row>
    <row r="16" spans="1:21">
      <c r="A16" s="73" t="s">
        <v>56</v>
      </c>
      <c r="B16" s="2" t="s">
        <v>57</v>
      </c>
      <c r="C16" s="22"/>
      <c r="D16" s="2"/>
      <c r="E16" s="60"/>
      <c r="F16" s="2"/>
      <c r="G16" s="65"/>
      <c r="H16" s="2"/>
      <c r="I16" s="2"/>
      <c r="J16" s="26">
        <v>3</v>
      </c>
      <c r="K16" s="10" t="s">
        <v>47</v>
      </c>
      <c r="L16" s="42"/>
    </row>
    <row r="17" spans="1:12">
      <c r="A17" s="73"/>
      <c r="B17" s="2" t="s">
        <v>58</v>
      </c>
      <c r="C17" s="22"/>
      <c r="D17" s="2"/>
      <c r="E17" s="60"/>
      <c r="F17" s="2"/>
      <c r="G17" s="65"/>
      <c r="H17" s="2"/>
      <c r="I17" s="2"/>
      <c r="J17" s="26">
        <v>3</v>
      </c>
      <c r="K17" s="10" t="s">
        <v>47</v>
      </c>
      <c r="L17" s="42"/>
    </row>
    <row r="18" spans="1:12">
      <c r="A18" s="73"/>
      <c r="B18" s="2" t="s">
        <v>59</v>
      </c>
      <c r="C18" s="22"/>
      <c r="D18" s="2"/>
      <c r="E18" s="60"/>
      <c r="F18" s="2"/>
      <c r="G18" s="65"/>
      <c r="H18" s="2"/>
      <c r="I18" s="2"/>
      <c r="J18" s="26">
        <v>2</v>
      </c>
      <c r="K18" s="10" t="s">
        <v>47</v>
      </c>
      <c r="L18" s="42"/>
    </row>
    <row r="19" spans="1:12">
      <c r="A19" s="72" t="s">
        <v>56</v>
      </c>
      <c r="B19" s="1" t="s">
        <v>60</v>
      </c>
      <c r="C19" s="14"/>
      <c r="D19" s="1"/>
      <c r="E19" s="52"/>
      <c r="F19" s="1"/>
      <c r="G19" s="64"/>
      <c r="H19" s="1"/>
      <c r="I19" s="1"/>
      <c r="J19" s="28">
        <f>J16*$J$15</f>
        <v>9</v>
      </c>
      <c r="K19" s="29" t="s">
        <v>42</v>
      </c>
      <c r="L19" s="42"/>
    </row>
    <row r="20" spans="1:12">
      <c r="A20" s="72"/>
      <c r="B20" s="1" t="s">
        <v>61</v>
      </c>
      <c r="C20" s="14"/>
      <c r="D20" s="1"/>
      <c r="E20" s="52"/>
      <c r="F20" s="1"/>
      <c r="G20" s="64"/>
      <c r="H20" s="1"/>
      <c r="I20" s="1"/>
      <c r="J20" s="28">
        <f t="shared" ref="J20:J21" si="0">J17*$J$15</f>
        <v>9</v>
      </c>
      <c r="K20" s="29" t="s">
        <v>42</v>
      </c>
      <c r="L20" s="42"/>
    </row>
    <row r="21" spans="1:12">
      <c r="A21" s="72"/>
      <c r="B21" s="1" t="s">
        <v>62</v>
      </c>
      <c r="C21" s="14"/>
      <c r="D21" s="1"/>
      <c r="E21" s="52"/>
      <c r="F21" s="1"/>
      <c r="G21" s="64"/>
      <c r="H21" s="1"/>
      <c r="I21" s="1"/>
      <c r="J21" s="28">
        <f t="shared" si="0"/>
        <v>6</v>
      </c>
      <c r="K21" s="29" t="s">
        <v>42</v>
      </c>
      <c r="L21" s="42"/>
    </row>
    <row r="22" spans="1:12">
      <c r="A22" s="6" t="s">
        <v>63</v>
      </c>
      <c r="B22" s="5"/>
      <c r="C22" s="15"/>
      <c r="D22" s="6"/>
      <c r="E22" s="53"/>
      <c r="F22" s="6"/>
      <c r="G22" s="63"/>
      <c r="H22" s="6">
        <f>J10</f>
        <v>18</v>
      </c>
      <c r="I22" s="6" t="s">
        <v>47</v>
      </c>
      <c r="J22" s="34">
        <f>J16*J17*J18</f>
        <v>18</v>
      </c>
      <c r="K22" s="35" t="s">
        <v>47</v>
      </c>
      <c r="L22" s="38" t="str">
        <f>IF(J22&gt;=H22, "True", "False")</f>
        <v>True</v>
      </c>
    </row>
    <row r="23" spans="1:12">
      <c r="A23" s="1" t="s">
        <v>64</v>
      </c>
      <c r="B23" s="1"/>
      <c r="C23" s="16"/>
      <c r="E23" s="54"/>
      <c r="F23" s="1"/>
      <c r="G23" s="64"/>
      <c r="H23" s="1">
        <f>300*2</f>
        <v>600</v>
      </c>
      <c r="I23" s="1" t="s">
        <v>65</v>
      </c>
      <c r="J23" s="26">
        <v>700</v>
      </c>
      <c r="K23" s="10" t="s">
        <v>65</v>
      </c>
      <c r="L23" s="37" t="str">
        <f>IF(J23&gt;=H23, "True", "False")</f>
        <v>True</v>
      </c>
    </row>
    <row r="24" spans="1:12">
      <c r="A24" s="2" t="s">
        <v>66</v>
      </c>
      <c r="B24" s="2"/>
      <c r="C24" s="22"/>
      <c r="D24" s="2"/>
      <c r="E24" s="60"/>
      <c r="F24" s="2"/>
      <c r="G24" s="65"/>
      <c r="H24" s="2">
        <f>J23/J3/60/60</f>
        <v>4.3689592221304592</v>
      </c>
      <c r="I24" s="2" t="s">
        <v>67</v>
      </c>
      <c r="J24" s="26">
        <v>4.5</v>
      </c>
      <c r="K24" s="10" t="s">
        <v>67</v>
      </c>
      <c r="L24" s="37" t="str">
        <f>IF(J24&gt;=H24, "True", "False")</f>
        <v>True</v>
      </c>
    </row>
    <row r="25" spans="1:12">
      <c r="A25" s="1" t="s">
        <v>68</v>
      </c>
      <c r="B25" s="1" t="s">
        <v>69</v>
      </c>
      <c r="C25" s="14"/>
      <c r="D25" s="1"/>
      <c r="E25" s="52"/>
      <c r="F25" s="1"/>
      <c r="G25" s="64"/>
      <c r="H25" s="1">
        <f>H24*C39</f>
        <v>87.379184442609187</v>
      </c>
      <c r="I25" s="1" t="s">
        <v>70</v>
      </c>
      <c r="J25" s="28">
        <f>J24*C39</f>
        <v>90</v>
      </c>
      <c r="K25" s="29" t="s">
        <v>70</v>
      </c>
      <c r="L25" s="42"/>
    </row>
    <row r="26" spans="1:12">
      <c r="A26" s="2" t="s">
        <v>71</v>
      </c>
      <c r="B26" s="2" t="s">
        <v>72</v>
      </c>
      <c r="C26" s="22"/>
      <c r="D26" s="2"/>
      <c r="E26" s="60"/>
      <c r="F26" s="2"/>
      <c r="G26" s="65"/>
      <c r="H26" s="2"/>
      <c r="I26" s="2"/>
      <c r="J26" s="28">
        <f>24*C38/J8-J24</f>
        <v>19.5</v>
      </c>
      <c r="K26" s="29" t="s">
        <v>67</v>
      </c>
      <c r="L26" s="42"/>
    </row>
    <row r="27" spans="1:12">
      <c r="A27" s="11" t="s">
        <v>73</v>
      </c>
      <c r="B27" s="11" t="s">
        <v>74</v>
      </c>
      <c r="C27" s="23"/>
      <c r="D27" s="11"/>
      <c r="E27" s="61"/>
      <c r="F27" s="11"/>
      <c r="G27" s="68" t="s">
        <v>75</v>
      </c>
      <c r="H27" s="11">
        <f>J25</f>
        <v>90</v>
      </c>
      <c r="I27" s="11" t="s">
        <v>70</v>
      </c>
      <c r="J27" s="28">
        <f>(J26)*C40</f>
        <v>390</v>
      </c>
      <c r="K27" s="29" t="s">
        <v>70</v>
      </c>
      <c r="L27" s="37" t="str">
        <f>IF(J27&gt;=J25, "True", "False")</f>
        <v>True</v>
      </c>
    </row>
    <row r="28" spans="1:12">
      <c r="A28" s="11" t="s">
        <v>76</v>
      </c>
      <c r="B28" s="11" t="s">
        <v>77</v>
      </c>
      <c r="C28" s="23"/>
      <c r="D28" s="11"/>
      <c r="E28" s="61"/>
      <c r="F28" s="11"/>
      <c r="G28" s="68"/>
      <c r="H28" s="11">
        <f>J25</f>
        <v>90</v>
      </c>
      <c r="I28" s="11" t="s">
        <v>70</v>
      </c>
      <c r="J28" s="28">
        <f>J29*C41/1000</f>
        <v>101.70446</v>
      </c>
      <c r="K28" s="29" t="s">
        <v>70</v>
      </c>
      <c r="L28" s="37" t="str">
        <f>IF(J28&gt;=H28, "True", "False")</f>
        <v>True</v>
      </c>
    </row>
    <row r="29" spans="1:12">
      <c r="A29" s="2" t="s">
        <v>78</v>
      </c>
      <c r="B29" s="2" t="s">
        <v>79</v>
      </c>
      <c r="C29" s="22"/>
      <c r="D29" s="2"/>
      <c r="E29" s="60"/>
      <c r="F29" s="2"/>
      <c r="G29" s="65"/>
      <c r="H29" s="2">
        <f>J25/C41*1000</f>
        <v>161.00178890876566</v>
      </c>
      <c r="I29" s="2" t="s">
        <v>50</v>
      </c>
      <c r="J29" s="28">
        <f>J30*C42</f>
        <v>181.94</v>
      </c>
      <c r="K29" s="29" t="s">
        <v>50</v>
      </c>
      <c r="L29" s="42"/>
    </row>
    <row r="30" spans="1:12">
      <c r="A30" s="12" t="s">
        <v>80</v>
      </c>
      <c r="B30" s="12" t="s">
        <v>81</v>
      </c>
      <c r="C30" s="24"/>
      <c r="D30" s="12"/>
      <c r="E30" s="70"/>
      <c r="F30" s="12"/>
      <c r="G30" s="69"/>
      <c r="H30" s="12">
        <f>H29/C42</f>
        <v>9.7340863910982875</v>
      </c>
      <c r="I30" s="12" t="s">
        <v>82</v>
      </c>
      <c r="J30" s="25">
        <v>11</v>
      </c>
      <c r="K30" s="36" t="s">
        <v>82</v>
      </c>
      <c r="L30" s="38" t="str">
        <f>IF(J30&gt;=H30, "True", "False")</f>
        <v>True</v>
      </c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 t="s">
        <v>83</v>
      </c>
      <c r="K33" s="1">
        <v>250</v>
      </c>
      <c r="L33" s="1" t="s">
        <v>84</v>
      </c>
    </row>
    <row r="34" spans="1:12">
      <c r="A34" s="46" t="s">
        <v>85</v>
      </c>
      <c r="B34" s="47"/>
      <c r="C34" s="46" t="s">
        <v>86</v>
      </c>
      <c r="D34" s="48" t="s">
        <v>87</v>
      </c>
      <c r="E34" s="1"/>
      <c r="F34" s="1"/>
      <c r="G34" s="1"/>
      <c r="H34" s="1"/>
      <c r="I34" s="1"/>
      <c r="J34" s="1" t="s">
        <v>88</v>
      </c>
      <c r="K34" s="1"/>
      <c r="L34" s="1"/>
    </row>
    <row r="35" spans="1:12">
      <c r="A35" s="14" t="s">
        <v>89</v>
      </c>
      <c r="B35" s="1" t="s">
        <v>90</v>
      </c>
      <c r="C35" s="14">
        <v>10</v>
      </c>
      <c r="D35" s="43" t="s">
        <v>91</v>
      </c>
      <c r="E35" s="1"/>
      <c r="F35" s="1"/>
      <c r="G35" s="1"/>
      <c r="H35" s="1"/>
      <c r="I35" s="1"/>
      <c r="J35" s="1">
        <f>J28/K33</f>
        <v>0.40681783999999999</v>
      </c>
      <c r="K35" s="1" t="s">
        <v>92</v>
      </c>
      <c r="L35" s="1"/>
    </row>
    <row r="36" spans="1:12">
      <c r="A36" s="14" t="s">
        <v>93</v>
      </c>
      <c r="B36" s="1" t="s">
        <v>94</v>
      </c>
      <c r="C36" s="14">
        <v>1000</v>
      </c>
      <c r="D36" s="43" t="s">
        <v>29</v>
      </c>
      <c r="E36" s="1"/>
      <c r="F36" s="1"/>
      <c r="G36" s="1"/>
      <c r="H36" s="1"/>
      <c r="I36" s="1"/>
      <c r="J36" s="1"/>
      <c r="K36" s="1"/>
      <c r="L36" s="1"/>
    </row>
    <row r="37" spans="1:12">
      <c r="A37" s="14" t="s">
        <v>95</v>
      </c>
      <c r="B37" s="1"/>
      <c r="C37" s="14">
        <v>1.5</v>
      </c>
      <c r="D37" s="43" t="s">
        <v>96</v>
      </c>
      <c r="E37" s="1"/>
      <c r="F37" s="1"/>
      <c r="G37" s="1"/>
      <c r="H37" s="1"/>
      <c r="I37" s="1"/>
      <c r="J37" s="1"/>
      <c r="K37" s="1"/>
      <c r="L37" s="1"/>
    </row>
    <row r="38" spans="1:12">
      <c r="A38" s="14" t="s">
        <v>97</v>
      </c>
      <c r="B38" s="1" t="s">
        <v>98</v>
      </c>
      <c r="C38" s="14">
        <v>5</v>
      </c>
      <c r="D38" s="43" t="s">
        <v>99</v>
      </c>
      <c r="E38" s="1"/>
      <c r="F38" s="1"/>
      <c r="G38" s="1"/>
      <c r="H38" s="1"/>
      <c r="I38" s="1"/>
      <c r="J38" s="1"/>
      <c r="K38" s="1"/>
      <c r="L38" s="1"/>
    </row>
    <row r="39" spans="1:12">
      <c r="A39" s="14" t="s">
        <v>100</v>
      </c>
      <c r="C39" s="14">
        <v>20</v>
      </c>
      <c r="D39" s="43" t="s">
        <v>101</v>
      </c>
      <c r="E39" s="1"/>
      <c r="F39" s="1"/>
      <c r="G39" s="1"/>
      <c r="H39" s="1"/>
      <c r="I39" s="1"/>
      <c r="J39" s="1"/>
      <c r="K39" s="1"/>
      <c r="L39" s="1"/>
    </row>
    <row r="40" spans="1:12">
      <c r="A40" s="14" t="s">
        <v>102</v>
      </c>
      <c r="B40" s="1"/>
      <c r="C40" s="14">
        <v>20</v>
      </c>
      <c r="D40" s="43" t="s">
        <v>101</v>
      </c>
      <c r="E40" s="1"/>
      <c r="F40" s="1"/>
      <c r="G40" s="1"/>
      <c r="H40" s="1"/>
      <c r="I40" s="1"/>
      <c r="J40" s="1"/>
      <c r="K40" s="1"/>
      <c r="L40" s="1"/>
    </row>
    <row r="41" spans="1:12">
      <c r="A41" s="14" t="s">
        <v>103</v>
      </c>
      <c r="B41" s="1"/>
      <c r="C41" s="14">
        <v>559</v>
      </c>
      <c r="D41" s="43" t="s">
        <v>104</v>
      </c>
      <c r="E41" s="1"/>
      <c r="F41" s="1"/>
      <c r="G41" s="1"/>
      <c r="H41" s="1"/>
      <c r="I41" s="1"/>
      <c r="J41" s="1"/>
      <c r="K41" s="1"/>
      <c r="L41" s="1"/>
    </row>
    <row r="42" spans="1:12">
      <c r="A42" s="44" t="s">
        <v>105</v>
      </c>
      <c r="B42" s="3" t="s">
        <v>106</v>
      </c>
      <c r="C42" s="44">
        <f>ROUND((PI()*POWER(1.8/2,2)*6.5),2)</f>
        <v>16.54</v>
      </c>
      <c r="D42" s="45" t="s">
        <v>50</v>
      </c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B45" s="1"/>
    </row>
  </sheetData>
  <mergeCells count="16">
    <mergeCell ref="C1:D1"/>
    <mergeCell ref="E1:F1"/>
    <mergeCell ref="H1:I1"/>
    <mergeCell ref="J1:K1"/>
    <mergeCell ref="A2:A3"/>
    <mergeCell ref="G2:G3"/>
    <mergeCell ref="B2:B3"/>
    <mergeCell ref="L2:L3"/>
    <mergeCell ref="A19:A21"/>
    <mergeCell ref="A11:A12"/>
    <mergeCell ref="G11:G12"/>
    <mergeCell ref="A13:A14"/>
    <mergeCell ref="A16:A18"/>
    <mergeCell ref="A5:A7"/>
    <mergeCell ref="B5:B7"/>
    <mergeCell ref="G5:G7"/>
  </mergeCells>
  <conditionalFormatting sqref="L2:L5 L7">
    <cfRule type="containsText" dxfId="9" priority="19" operator="containsText" text="False">
      <formula>NOT(ISERROR(SEARCH("False",L2)))</formula>
    </cfRule>
    <cfRule type="containsText" dxfId="8" priority="20" operator="containsText" text="True">
      <formula>NOT(ISERROR(SEARCH("True",L2)))</formula>
    </cfRule>
  </conditionalFormatting>
  <conditionalFormatting sqref="L9:L15">
    <cfRule type="containsText" dxfId="7" priority="9" operator="containsText" text="False">
      <formula>NOT(ISERROR(SEARCH("False",L9)))</formula>
    </cfRule>
    <cfRule type="containsText" dxfId="6" priority="10" operator="containsText" text="True">
      <formula>NOT(ISERROR(SEARCH("True",L9)))</formula>
    </cfRule>
  </conditionalFormatting>
  <conditionalFormatting sqref="L22:L24">
    <cfRule type="containsText" dxfId="5" priority="7" operator="containsText" text="False">
      <formula>NOT(ISERROR(SEARCH("False",L22)))</formula>
    </cfRule>
    <cfRule type="containsText" dxfId="4" priority="8" operator="containsText" text="True">
      <formula>NOT(ISERROR(SEARCH("True",L22)))</formula>
    </cfRule>
  </conditionalFormatting>
  <conditionalFormatting sqref="L27:L28">
    <cfRule type="containsText" dxfId="3" priority="5" operator="containsText" text="False">
      <formula>NOT(ISERROR(SEARCH("False",L27)))</formula>
    </cfRule>
    <cfRule type="containsText" dxfId="2" priority="6" operator="containsText" text="True">
      <formula>NOT(ISERROR(SEARCH("True",L27)))</formula>
    </cfRule>
  </conditionalFormatting>
  <conditionalFormatting sqref="L30">
    <cfRule type="containsText" dxfId="1" priority="3" operator="containsText" text="False">
      <formula>NOT(ISERROR(SEARCH("False",L30)))</formula>
    </cfRule>
    <cfRule type="containsText" dxfId="0" priority="4" operator="containsText" text="True">
      <formula>NOT(ISERROR(SEARCH("True",L30)))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b6129b-58e7-4cb1-9df4-e1bfd5116b52">
      <Terms xmlns="http://schemas.microsoft.com/office/infopath/2007/PartnerControls"/>
    </lcf76f155ced4ddcb4097134ff3c332f>
    <TaxCatchAll xmlns="1baae7e2-9c57-424a-aa2b-d34a883dc7b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59CDE9A937E34081AFCECDC436BB90" ma:contentTypeVersion="10" ma:contentTypeDescription="Create a new document." ma:contentTypeScope="" ma:versionID="6081337612d190d3bddb2fd375394aac">
  <xsd:schema xmlns:xsd="http://www.w3.org/2001/XMLSchema" xmlns:xs="http://www.w3.org/2001/XMLSchema" xmlns:p="http://schemas.microsoft.com/office/2006/metadata/properties" xmlns:ns2="b9b6129b-58e7-4cb1-9df4-e1bfd5116b52" xmlns:ns3="1baae7e2-9c57-424a-aa2b-d34a883dc7b1" targetNamespace="http://schemas.microsoft.com/office/2006/metadata/properties" ma:root="true" ma:fieldsID="ff7c399058d62c1c2017e447ea63178f" ns2:_="" ns3:_="">
    <xsd:import namespace="b9b6129b-58e7-4cb1-9df4-e1bfd5116b52"/>
    <xsd:import namespace="1baae7e2-9c57-424a-aa2b-d34a883dc7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b6129b-58e7-4cb1-9df4-e1bfd5116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921d02d-b337-4ce5-bd1c-22d9132a6b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aae7e2-9c57-424a-aa2b-d34a883dc7b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005c5a8-914e-4a1d-b324-ce2d667a1ba5}" ma:internalName="TaxCatchAll" ma:showField="CatchAllData" ma:web="1baae7e2-9c57-424a-aa2b-d34a883dc7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8A1A8A-4933-4F28-93CB-42747B01426F}"/>
</file>

<file path=customXml/itemProps2.xml><?xml version="1.0" encoding="utf-8"?>
<ds:datastoreItem xmlns:ds="http://schemas.openxmlformats.org/officeDocument/2006/customXml" ds:itemID="{B39D7893-FEAC-4802-B9D2-BEECC222FB95}"/>
</file>

<file path=customXml/itemProps3.xml><?xml version="1.0" encoding="utf-8"?>
<ds:datastoreItem xmlns:ds="http://schemas.openxmlformats.org/officeDocument/2006/customXml" ds:itemID="{25B960E1-9567-414C-8A31-D5AF4C8F0B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Cockerall</cp:lastModifiedBy>
  <cp:revision/>
  <dcterms:created xsi:type="dcterms:W3CDTF">2026-08-23T02:05:58Z</dcterms:created>
  <dcterms:modified xsi:type="dcterms:W3CDTF">2026-09-09T00:19:07Z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0x0101004C59CDE9A937E34081AFCECDC436BB90</vt:lpwstr>
  </property>
  <property fmtid="{D5CDD505-2E9C-101B-9397-08002B2CF9AE}" pid="3" name="MediaServiceImageTags">
    <vt:lpwstr/>
  </property>
</Properties>
</file>